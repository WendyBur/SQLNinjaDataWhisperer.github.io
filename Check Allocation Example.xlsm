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ndy\Pictures\SNDW Portfolio\Power BI Project\"/>
    </mc:Choice>
  </mc:AlternateContent>
  <xr:revisionPtr revIDLastSave="0" documentId="8_{1A164961-7BF4-413E-848A-814F4DC7BF33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EXAMPLE check" sheetId="1" r:id="rId1"/>
    <sheet name="Pivot" sheetId="3" r:id="rId2"/>
    <sheet name="Allocations" sheetId="4" r:id="rId3"/>
  </sheets>
  <definedNames>
    <definedName name="_xlnm.Print_Area" localSheetId="2">Allocations!$A$1:$G$49</definedName>
    <definedName name="_xlnm.Print_Area" localSheetId="0">'EXAMPLE check'!$A$1:$H$100</definedName>
  </definedNames>
  <calcPr calcId="191029"/>
  <pivotCaches>
    <pivotCache cacheId="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6" i="1" l="1"/>
  <c r="F75" i="1"/>
  <c r="F38" i="1"/>
  <c r="F46" i="4"/>
  <c r="D46" i="4" l="1"/>
  <c r="C46" i="4"/>
  <c r="G46" i="4" l="1"/>
</calcChain>
</file>

<file path=xl/sharedStrings.xml><?xml version="1.0" encoding="utf-8"?>
<sst xmlns="http://schemas.openxmlformats.org/spreadsheetml/2006/main" count="26" uniqueCount="25">
  <si>
    <t>Invoice #</t>
  </si>
  <si>
    <t>Row Labels</t>
  </si>
  <si>
    <t>Grand Total</t>
  </si>
  <si>
    <t>Store #</t>
  </si>
  <si>
    <t>Chk #</t>
  </si>
  <si>
    <t>Chk Total</t>
  </si>
  <si>
    <t>Inv Total</t>
  </si>
  <si>
    <t>Sum of Inv Total</t>
  </si>
  <si>
    <t>/////////</t>
  </si>
  <si>
    <t>//////////</t>
  </si>
  <si>
    <t>Start B3</t>
  </si>
  <si>
    <t>1. Enter allocations with 1 row between pages.</t>
  </si>
  <si>
    <t>2. Press CTRL-SHIFT-W total sections</t>
  </si>
  <si>
    <t>3. Make sure section totals and check total are correct.</t>
  </si>
  <si>
    <t>Per SK</t>
  </si>
  <si>
    <t>Applied</t>
  </si>
  <si>
    <t>Acctg Only</t>
  </si>
  <si>
    <t>Remaining</t>
  </si>
  <si>
    <t>adjusted pos</t>
  </si>
  <si>
    <t>SK Ck1000304370</t>
  </si>
  <si>
    <t>pos alloc</t>
  </si>
  <si>
    <t>neg alloc</t>
  </si>
  <si>
    <t>2. Press CTRL-SHIFT-N to adjust for negative allocations.</t>
  </si>
  <si>
    <t>1. Press CTRL-SHIFT-F to populate pos alloc &amp; neg alloc.</t>
  </si>
  <si>
    <t>3. REMEMBER TO ALLOCATE THE ADJUSTED POS!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</si>
</sst>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4">
    <xf numFmtId="0" fontId="0" fillId="0" borderId="0" xfId="0"/>
    <xf numFmtId="8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4" fontId="0" fillId="0" borderId="0" xfId="42" applyFont="1"/>
    <xf numFmtId="44" fontId="0" fillId="0" borderId="0" xfId="42" applyFont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right"/>
    </xf>
    <xf numFmtId="0" fontId="0" fillId="33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ndy Burington" refreshedDate="44453.373470370374" createdVersion="7" refreshedVersion="7" minRefreshableVersion="3" recordCount="96" xr:uid="{59F32FD9-8502-4DEF-8144-F68E89D0DF69}">
  <cacheSource type="worksheet">
    <worksheetSource ref="B1:D100" sheet="EXAMPLE check"/>
  </cacheSource>
  <cacheFields count="3">
    <cacheField name="Store #" numFmtId="0">
      <sharedItems containsBlank="1" containsMixedTypes="1" containsNumber="1" containsInteger="1" minValue="2" maxValue="356" count="34">
        <s v="//////////"/>
        <n v="2"/>
        <n v="3"/>
        <n v="5"/>
        <n v="6"/>
        <n v="7"/>
        <n v="8"/>
        <n v="9"/>
        <n v="10"/>
        <n v="11"/>
        <n v="12"/>
        <n v="13"/>
        <n v="15"/>
        <m/>
        <n v="16"/>
        <n v="18"/>
        <n v="19"/>
        <n v="20"/>
        <n v="21"/>
        <n v="22"/>
        <n v="23"/>
        <n v="24"/>
        <n v="26"/>
        <n v="27"/>
        <n v="119"/>
        <n v="122"/>
        <n v="123"/>
        <n v="169"/>
        <n v="250"/>
        <n v="318"/>
        <n v="319"/>
        <n v="346"/>
        <n v="347"/>
        <n v="356"/>
      </sharedItems>
    </cacheField>
    <cacheField name="Invoice #" numFmtId="0">
      <sharedItems containsString="0" containsBlank="1" containsNumber="1" containsInteger="1" minValue="794846" maxValue="797072" count="87">
        <m/>
        <n v="796328"/>
        <n v="797042"/>
        <n v="796055"/>
        <n v="796168"/>
        <n v="796333"/>
        <n v="796344"/>
        <n v="796228"/>
        <n v="796565"/>
        <n v="797056"/>
        <n v="796394"/>
        <n v="796562"/>
        <n v="796813"/>
        <n v="796628"/>
        <n v="796867"/>
        <n v="797053"/>
        <n v="796890"/>
        <n v="796638"/>
        <n v="797070"/>
        <n v="796913"/>
        <n v="795998"/>
        <n v="797027"/>
        <n v="796619"/>
        <n v="796829"/>
        <n v="796874"/>
        <n v="796873"/>
        <n v="796318"/>
        <n v="796841"/>
        <n v="796307"/>
        <n v="796603"/>
        <n v="796598"/>
        <n v="797057"/>
        <n v="796125"/>
        <n v="796830"/>
        <n v="796127"/>
        <n v="796326"/>
        <n v="796623"/>
        <n v="795946"/>
        <n v="796400"/>
        <n v="796334"/>
        <n v="796843"/>
        <n v="796674"/>
        <n v="797016"/>
        <n v="796578"/>
        <n v="796857"/>
        <n v="796657"/>
        <n v="797038"/>
        <n v="796878"/>
        <n v="796031"/>
        <n v="796264"/>
        <n v="796773"/>
        <n v="796329"/>
        <n v="796170"/>
        <n v="797040"/>
        <n v="796039"/>
        <n v="795960"/>
        <n v="795604"/>
        <n v="796158"/>
        <n v="795161"/>
        <n v="796300"/>
        <n v="796600"/>
        <n v="796372"/>
        <n v="795938"/>
        <n v="795954"/>
        <n v="795955"/>
        <n v="796098"/>
        <n v="796599"/>
        <n v="796957"/>
        <n v="797066"/>
        <n v="796330"/>
        <n v="796521"/>
        <n v="796764"/>
        <n v="797072"/>
        <n v="796361"/>
        <n v="796238"/>
        <n v="796478"/>
        <n v="795959"/>
        <n v="796321"/>
        <n v="796722"/>
        <n v="796192"/>
        <n v="796614"/>
        <n v="796615"/>
        <n v="796901"/>
        <n v="796129"/>
        <n v="794968"/>
        <n v="794846"/>
        <n v="794929"/>
      </sharedItems>
    </cacheField>
    <cacheField name="Inv Total" numFmtId="0">
      <sharedItems containsString="0" containsBlank="1" containsNumber="1" containsInteger="1" minValue="-4600" maxValue="4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m/>
  </r>
  <r>
    <x v="1"/>
    <x v="1"/>
    <n v="175"/>
  </r>
  <r>
    <x v="1"/>
    <x v="2"/>
    <n v="125"/>
  </r>
  <r>
    <x v="2"/>
    <x v="3"/>
    <n v="-750"/>
  </r>
  <r>
    <x v="2"/>
    <x v="4"/>
    <n v="-120"/>
  </r>
  <r>
    <x v="3"/>
    <x v="5"/>
    <n v="550"/>
  </r>
  <r>
    <x v="3"/>
    <x v="6"/>
    <n v="100"/>
  </r>
  <r>
    <x v="3"/>
    <x v="7"/>
    <n v="-80"/>
  </r>
  <r>
    <x v="3"/>
    <x v="8"/>
    <n v="-80"/>
  </r>
  <r>
    <x v="4"/>
    <x v="9"/>
    <n v="60"/>
  </r>
  <r>
    <x v="5"/>
    <x v="10"/>
    <n v="995"/>
  </r>
  <r>
    <x v="5"/>
    <x v="11"/>
    <n v="-140"/>
  </r>
  <r>
    <x v="6"/>
    <x v="12"/>
    <n v="-60"/>
  </r>
  <r>
    <x v="6"/>
    <x v="13"/>
    <n v="190"/>
  </r>
  <r>
    <x v="7"/>
    <x v="14"/>
    <n v="395"/>
  </r>
  <r>
    <x v="7"/>
    <x v="15"/>
    <n v="395"/>
  </r>
  <r>
    <x v="7"/>
    <x v="16"/>
    <n v="340"/>
  </r>
  <r>
    <x v="8"/>
    <x v="17"/>
    <n v="65"/>
  </r>
  <r>
    <x v="8"/>
    <x v="18"/>
    <n v="45"/>
  </r>
  <r>
    <x v="8"/>
    <x v="19"/>
    <n v="-65"/>
  </r>
  <r>
    <x v="9"/>
    <x v="20"/>
    <n v="-140"/>
  </r>
  <r>
    <x v="9"/>
    <x v="21"/>
    <n v="290"/>
  </r>
  <r>
    <x v="10"/>
    <x v="22"/>
    <n v="100"/>
  </r>
  <r>
    <x v="10"/>
    <x v="23"/>
    <n v="80"/>
  </r>
  <r>
    <x v="10"/>
    <x v="24"/>
    <n v="-80"/>
  </r>
  <r>
    <x v="10"/>
    <x v="25"/>
    <n v="1000"/>
  </r>
  <r>
    <x v="11"/>
    <x v="26"/>
    <n v="250"/>
  </r>
  <r>
    <x v="11"/>
    <x v="27"/>
    <n v="110"/>
  </r>
  <r>
    <x v="12"/>
    <x v="28"/>
    <n v="-935"/>
  </r>
  <r>
    <x v="12"/>
    <x v="29"/>
    <n v="-450"/>
  </r>
  <r>
    <x v="12"/>
    <x v="30"/>
    <n v="-300"/>
  </r>
  <r>
    <x v="12"/>
    <x v="30"/>
    <n v="300"/>
  </r>
  <r>
    <x v="12"/>
    <x v="30"/>
    <n v="300"/>
  </r>
  <r>
    <x v="12"/>
    <x v="30"/>
    <n v="300"/>
  </r>
  <r>
    <x v="12"/>
    <x v="29"/>
    <n v="450"/>
  </r>
  <r>
    <x v="12"/>
    <x v="29"/>
    <n v="450"/>
  </r>
  <r>
    <x v="12"/>
    <x v="31"/>
    <n v="270"/>
  </r>
  <r>
    <x v="13"/>
    <x v="0"/>
    <m/>
  </r>
  <r>
    <x v="14"/>
    <x v="32"/>
    <n v="150"/>
  </r>
  <r>
    <x v="14"/>
    <x v="33"/>
    <n v="160"/>
  </r>
  <r>
    <x v="15"/>
    <x v="34"/>
    <n v="350"/>
  </r>
  <r>
    <x v="15"/>
    <x v="35"/>
    <n v="-120"/>
  </r>
  <r>
    <x v="15"/>
    <x v="36"/>
    <n v="315"/>
  </r>
  <r>
    <x v="16"/>
    <x v="37"/>
    <n v="415"/>
  </r>
  <r>
    <x v="16"/>
    <x v="38"/>
    <n v="525"/>
  </r>
  <r>
    <x v="17"/>
    <x v="39"/>
    <n v="400"/>
  </r>
  <r>
    <x v="17"/>
    <x v="40"/>
    <n v="-400"/>
  </r>
  <r>
    <x v="18"/>
    <x v="41"/>
    <n v="950"/>
  </r>
  <r>
    <x v="18"/>
    <x v="42"/>
    <n v="-120"/>
  </r>
  <r>
    <x v="19"/>
    <x v="43"/>
    <n v="175"/>
  </r>
  <r>
    <x v="19"/>
    <x v="44"/>
    <n v="220"/>
  </r>
  <r>
    <x v="19"/>
    <x v="45"/>
    <n v="545"/>
  </r>
  <r>
    <x v="19"/>
    <x v="46"/>
    <n v="175"/>
  </r>
  <r>
    <x v="19"/>
    <x v="47"/>
    <n v="4600"/>
  </r>
  <r>
    <x v="19"/>
    <x v="48"/>
    <n v="-130"/>
  </r>
  <r>
    <x v="19"/>
    <x v="49"/>
    <n v="-4600"/>
  </r>
  <r>
    <x v="19"/>
    <x v="50"/>
    <n v="-100"/>
  </r>
  <r>
    <x v="20"/>
    <x v="51"/>
    <n v="-600"/>
  </r>
  <r>
    <x v="21"/>
    <x v="52"/>
    <n v="-190"/>
  </r>
  <r>
    <x v="21"/>
    <x v="53"/>
    <n v="130"/>
  </r>
  <r>
    <x v="22"/>
    <x v="54"/>
    <n v="-165"/>
  </r>
  <r>
    <x v="22"/>
    <x v="55"/>
    <n v="-100"/>
  </r>
  <r>
    <x v="22"/>
    <x v="56"/>
    <n v="-23"/>
  </r>
  <r>
    <x v="22"/>
    <x v="57"/>
    <n v="-80"/>
  </r>
  <r>
    <x v="22"/>
    <x v="56"/>
    <n v="-77"/>
  </r>
  <r>
    <x v="22"/>
    <x v="58"/>
    <n v="-40"/>
  </r>
  <r>
    <x v="23"/>
    <x v="59"/>
    <n v="-310"/>
  </r>
  <r>
    <x v="23"/>
    <x v="60"/>
    <n v="250"/>
  </r>
  <r>
    <x v="24"/>
    <x v="61"/>
    <n v="-315"/>
  </r>
  <r>
    <x v="25"/>
    <x v="62"/>
    <n v="160"/>
  </r>
  <r>
    <x v="26"/>
    <x v="63"/>
    <n v="-40"/>
  </r>
  <r>
    <x v="26"/>
    <x v="64"/>
    <n v="-40"/>
  </r>
  <r>
    <x v="27"/>
    <x v="65"/>
    <n v="50"/>
  </r>
  <r>
    <x v="27"/>
    <x v="66"/>
    <n v="150"/>
  </r>
  <r>
    <x v="13"/>
    <x v="0"/>
    <m/>
  </r>
  <r>
    <x v="27"/>
    <x v="67"/>
    <n v="-50"/>
  </r>
  <r>
    <x v="27"/>
    <x v="68"/>
    <n v="350"/>
  </r>
  <r>
    <x v="28"/>
    <x v="69"/>
    <n v="775"/>
  </r>
  <r>
    <x v="28"/>
    <x v="70"/>
    <n v="-160"/>
  </r>
  <r>
    <x v="29"/>
    <x v="71"/>
    <n v="-1000"/>
  </r>
  <r>
    <x v="29"/>
    <x v="72"/>
    <n v="155"/>
  </r>
  <r>
    <x v="30"/>
    <x v="73"/>
    <n v="245"/>
  </r>
  <r>
    <x v="30"/>
    <x v="74"/>
    <n v="-140"/>
  </r>
  <r>
    <x v="30"/>
    <x v="75"/>
    <n v="-60"/>
  </r>
  <r>
    <x v="31"/>
    <x v="76"/>
    <n v="-100"/>
  </r>
  <r>
    <x v="31"/>
    <x v="77"/>
    <n v="285"/>
  </r>
  <r>
    <x v="31"/>
    <x v="78"/>
    <n v="-40"/>
  </r>
  <r>
    <x v="32"/>
    <x v="79"/>
    <n v="-80"/>
  </r>
  <r>
    <x v="32"/>
    <x v="80"/>
    <n v="485"/>
  </r>
  <r>
    <x v="32"/>
    <x v="81"/>
    <n v="100"/>
  </r>
  <r>
    <x v="32"/>
    <x v="82"/>
    <n v="-100"/>
  </r>
  <r>
    <x v="33"/>
    <x v="83"/>
    <n v="525"/>
  </r>
  <r>
    <x v="33"/>
    <x v="84"/>
    <n v="-100"/>
  </r>
  <r>
    <x v="33"/>
    <x v="85"/>
    <n v="-180"/>
  </r>
  <r>
    <x v="33"/>
    <x v="86"/>
    <n v="-170"/>
  </r>
  <r>
    <x v="13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4C21DC-D94B-4034-B9B3-6920403B5287}" name="Store Allocations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 rowPageCount="1" colPageCount="1"/>
  <pivotFields count="3">
    <pivotField axis="axisPage" showAll="0">
      <items count="35">
        <item x="1"/>
        <item x="2"/>
        <item x="4"/>
        <item x="6"/>
        <item x="7"/>
        <item x="8"/>
        <item x="9"/>
        <item x="11"/>
        <item x="12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3"/>
        <item x="0"/>
        <item x="3"/>
        <item x="10"/>
        <item x="14"/>
        <item x="13"/>
        <item x="32"/>
        <item x="5"/>
        <item x="25"/>
        <item t="default"/>
      </items>
    </pivotField>
    <pivotField axis="axisRow" showAll="0" sortType="descending">
      <items count="88">
        <item x="0"/>
        <item x="72"/>
        <item x="18"/>
        <item x="68"/>
        <item x="31"/>
        <item x="9"/>
        <item x="15"/>
        <item x="2"/>
        <item x="53"/>
        <item x="46"/>
        <item x="21"/>
        <item x="42"/>
        <item x="67"/>
        <item x="19"/>
        <item x="82"/>
        <item x="16"/>
        <item x="47"/>
        <item x="24"/>
        <item x="25"/>
        <item x="14"/>
        <item x="44"/>
        <item x="40"/>
        <item x="27"/>
        <item x="33"/>
        <item x="23"/>
        <item x="12"/>
        <item x="50"/>
        <item x="71"/>
        <item x="78"/>
        <item x="41"/>
        <item x="45"/>
        <item x="17"/>
        <item x="13"/>
        <item x="36"/>
        <item x="22"/>
        <item x="81"/>
        <item x="80"/>
        <item x="29"/>
        <item x="60"/>
        <item x="66"/>
        <item x="30"/>
        <item x="43"/>
        <item x="8"/>
        <item x="11"/>
        <item x="70"/>
        <item x="75"/>
        <item x="38"/>
        <item x="10"/>
        <item x="61"/>
        <item x="73"/>
        <item x="6"/>
        <item x="39"/>
        <item x="5"/>
        <item x="69"/>
        <item x="51"/>
        <item x="1"/>
        <item x="35"/>
        <item x="77"/>
        <item x="26"/>
        <item x="28"/>
        <item x="59"/>
        <item x="49"/>
        <item x="74"/>
        <item x="7"/>
        <item x="79"/>
        <item x="52"/>
        <item x="4"/>
        <item x="57"/>
        <item x="83"/>
        <item x="34"/>
        <item x="32"/>
        <item x="65"/>
        <item x="3"/>
        <item x="54"/>
        <item x="48"/>
        <item x="20"/>
        <item x="55"/>
        <item x="76"/>
        <item x="64"/>
        <item x="63"/>
        <item x="37"/>
        <item x="62"/>
        <item x="56"/>
        <item x="58"/>
        <item x="84"/>
        <item x="86"/>
        <item x="85"/>
        <item t="default"/>
      </items>
    </pivotField>
    <pivotField dataField="1" showAll="0"/>
  </pivotFields>
  <rowFields count="1">
    <field x="1"/>
  </rowFields>
  <rowItems count="3">
    <i>
      <x v="21"/>
    </i>
    <i>
      <x v="51"/>
    </i>
    <i t="grand">
      <x/>
    </i>
  </rowItems>
  <colItems count="1">
    <i/>
  </colItems>
  <pageFields count="1">
    <pageField fld="0" item="11" hier="-1"/>
  </pageFields>
  <dataFields count="1">
    <dataField name="Sum of Inv Total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96"/>
  <sheetViews>
    <sheetView workbookViewId="0">
      <selection activeCell="K6" sqref="K6"/>
    </sheetView>
  </sheetViews>
  <sheetFormatPr defaultRowHeight="14.4" x14ac:dyDescent="0.3"/>
  <cols>
    <col min="6" max="6" width="11" bestFit="1" customWidth="1"/>
    <col min="7" max="7" width="10.88671875" bestFit="1" customWidth="1"/>
  </cols>
  <sheetData>
    <row r="1" spans="1:11" x14ac:dyDescent="0.3">
      <c r="B1" t="s">
        <v>3</v>
      </c>
      <c r="C1" t="s">
        <v>0</v>
      </c>
      <c r="D1" t="s">
        <v>6</v>
      </c>
      <c r="F1" t="s">
        <v>4</v>
      </c>
      <c r="G1" t="s">
        <v>5</v>
      </c>
    </row>
    <row r="2" spans="1:11" x14ac:dyDescent="0.3">
      <c r="A2" t="s">
        <v>10</v>
      </c>
      <c r="B2" s="5" t="s">
        <v>9</v>
      </c>
      <c r="F2">
        <v>1000304371</v>
      </c>
      <c r="G2" s="1">
        <v>7145</v>
      </c>
    </row>
    <row r="3" spans="1:11" x14ac:dyDescent="0.3">
      <c r="A3" s="5" t="s">
        <v>8</v>
      </c>
      <c r="B3" s="10">
        <v>2</v>
      </c>
      <c r="C3">
        <v>796328</v>
      </c>
      <c r="D3" s="10">
        <v>175</v>
      </c>
      <c r="K3" t="s">
        <v>11</v>
      </c>
    </row>
    <row r="4" spans="1:11" x14ac:dyDescent="0.3">
      <c r="B4" s="10">
        <v>2</v>
      </c>
      <c r="C4">
        <v>797042</v>
      </c>
      <c r="D4" s="10">
        <v>125</v>
      </c>
      <c r="K4" t="s">
        <v>12</v>
      </c>
    </row>
    <row r="5" spans="1:11" x14ac:dyDescent="0.3">
      <c r="B5">
        <v>3</v>
      </c>
      <c r="C5">
        <v>796055</v>
      </c>
      <c r="D5">
        <v>-750</v>
      </c>
      <c r="K5" t="s">
        <v>13</v>
      </c>
    </row>
    <row r="6" spans="1:11" x14ac:dyDescent="0.3">
      <c r="B6">
        <v>3</v>
      </c>
      <c r="C6">
        <v>796168</v>
      </c>
      <c r="D6">
        <v>-120</v>
      </c>
    </row>
    <row r="7" spans="1:11" x14ac:dyDescent="0.3">
      <c r="B7">
        <v>5</v>
      </c>
      <c r="C7">
        <v>796333</v>
      </c>
      <c r="D7">
        <v>550</v>
      </c>
    </row>
    <row r="8" spans="1:11" x14ac:dyDescent="0.3">
      <c r="B8">
        <v>5</v>
      </c>
      <c r="C8">
        <v>796344</v>
      </c>
      <c r="D8">
        <v>100</v>
      </c>
    </row>
    <row r="9" spans="1:11" x14ac:dyDescent="0.3">
      <c r="B9">
        <v>5</v>
      </c>
      <c r="C9">
        <v>796228</v>
      </c>
      <c r="D9">
        <v>-80</v>
      </c>
    </row>
    <row r="10" spans="1:11" x14ac:dyDescent="0.3">
      <c r="B10">
        <v>5</v>
      </c>
      <c r="C10">
        <v>796565</v>
      </c>
      <c r="D10">
        <v>-80</v>
      </c>
    </row>
    <row r="11" spans="1:11" x14ac:dyDescent="0.3">
      <c r="B11">
        <v>6</v>
      </c>
      <c r="C11">
        <v>797056</v>
      </c>
      <c r="D11">
        <v>60</v>
      </c>
    </row>
    <row r="12" spans="1:11" x14ac:dyDescent="0.3">
      <c r="B12">
        <v>7</v>
      </c>
      <c r="C12">
        <v>796394</v>
      </c>
      <c r="D12">
        <v>995</v>
      </c>
    </row>
    <row r="13" spans="1:11" x14ac:dyDescent="0.3">
      <c r="B13">
        <v>7</v>
      </c>
      <c r="C13">
        <v>796562</v>
      </c>
      <c r="D13">
        <v>-140</v>
      </c>
    </row>
    <row r="14" spans="1:11" x14ac:dyDescent="0.3">
      <c r="B14">
        <v>8</v>
      </c>
      <c r="C14">
        <v>796813</v>
      </c>
      <c r="D14">
        <v>-60</v>
      </c>
    </row>
    <row r="15" spans="1:11" x14ac:dyDescent="0.3">
      <c r="B15">
        <v>8</v>
      </c>
      <c r="C15">
        <v>796628</v>
      </c>
      <c r="D15">
        <v>190</v>
      </c>
    </row>
    <row r="16" spans="1:11" x14ac:dyDescent="0.3">
      <c r="B16">
        <v>9</v>
      </c>
      <c r="C16">
        <v>796867</v>
      </c>
      <c r="D16">
        <v>395</v>
      </c>
    </row>
    <row r="17" spans="2:4" x14ac:dyDescent="0.3">
      <c r="B17">
        <v>9</v>
      </c>
      <c r="C17">
        <v>797053</v>
      </c>
      <c r="D17">
        <v>395</v>
      </c>
    </row>
    <row r="18" spans="2:4" x14ac:dyDescent="0.3">
      <c r="B18">
        <v>9</v>
      </c>
      <c r="C18">
        <v>796890</v>
      </c>
      <c r="D18">
        <v>340</v>
      </c>
    </row>
    <row r="19" spans="2:4" x14ac:dyDescent="0.3">
      <c r="B19">
        <v>10</v>
      </c>
      <c r="C19">
        <v>796638</v>
      </c>
      <c r="D19">
        <v>65</v>
      </c>
    </row>
    <row r="20" spans="2:4" x14ac:dyDescent="0.3">
      <c r="B20">
        <v>10</v>
      </c>
      <c r="C20">
        <v>797070</v>
      </c>
      <c r="D20">
        <v>45</v>
      </c>
    </row>
    <row r="21" spans="2:4" x14ac:dyDescent="0.3">
      <c r="B21">
        <v>10</v>
      </c>
      <c r="C21">
        <v>796913</v>
      </c>
      <c r="D21">
        <v>-65</v>
      </c>
    </row>
    <row r="22" spans="2:4" x14ac:dyDescent="0.3">
      <c r="B22">
        <v>11</v>
      </c>
      <c r="C22">
        <v>795998</v>
      </c>
      <c r="D22">
        <v>-140</v>
      </c>
    </row>
    <row r="23" spans="2:4" x14ac:dyDescent="0.3">
      <c r="B23">
        <v>11</v>
      </c>
      <c r="C23">
        <v>797027</v>
      </c>
      <c r="D23">
        <v>290</v>
      </c>
    </row>
    <row r="24" spans="2:4" x14ac:dyDescent="0.3">
      <c r="B24">
        <v>12</v>
      </c>
      <c r="C24">
        <v>796619</v>
      </c>
      <c r="D24">
        <v>100</v>
      </c>
    </row>
    <row r="25" spans="2:4" x14ac:dyDescent="0.3">
      <c r="B25">
        <v>12</v>
      </c>
      <c r="C25">
        <v>796829</v>
      </c>
      <c r="D25">
        <v>80</v>
      </c>
    </row>
    <row r="26" spans="2:4" x14ac:dyDescent="0.3">
      <c r="B26">
        <v>12</v>
      </c>
      <c r="C26">
        <v>796874</v>
      </c>
      <c r="D26">
        <v>-80</v>
      </c>
    </row>
    <row r="27" spans="2:4" x14ac:dyDescent="0.3">
      <c r="B27">
        <v>12</v>
      </c>
      <c r="C27">
        <v>796873</v>
      </c>
      <c r="D27">
        <v>1000</v>
      </c>
    </row>
    <row r="28" spans="2:4" x14ac:dyDescent="0.3">
      <c r="B28">
        <v>13</v>
      </c>
      <c r="C28">
        <v>796318</v>
      </c>
      <c r="D28">
        <v>250</v>
      </c>
    </row>
    <row r="29" spans="2:4" x14ac:dyDescent="0.3">
      <c r="B29">
        <v>13</v>
      </c>
      <c r="C29">
        <v>796841</v>
      </c>
      <c r="D29">
        <v>110</v>
      </c>
    </row>
    <row r="30" spans="2:4" x14ac:dyDescent="0.3">
      <c r="B30">
        <v>15</v>
      </c>
      <c r="C30">
        <v>796307</v>
      </c>
      <c r="D30">
        <v>-935</v>
      </c>
    </row>
    <row r="31" spans="2:4" x14ac:dyDescent="0.3">
      <c r="B31">
        <v>15</v>
      </c>
      <c r="C31">
        <v>796603</v>
      </c>
      <c r="D31">
        <v>-450</v>
      </c>
    </row>
    <row r="32" spans="2:4" x14ac:dyDescent="0.3">
      <c r="B32">
        <v>15</v>
      </c>
      <c r="C32">
        <v>796598</v>
      </c>
      <c r="D32">
        <v>-300</v>
      </c>
    </row>
    <row r="33" spans="2:6" x14ac:dyDescent="0.3">
      <c r="B33">
        <v>15</v>
      </c>
      <c r="C33">
        <v>796598</v>
      </c>
      <c r="D33">
        <v>300</v>
      </c>
    </row>
    <row r="34" spans="2:6" x14ac:dyDescent="0.3">
      <c r="B34">
        <v>15</v>
      </c>
      <c r="C34">
        <v>796598</v>
      </c>
      <c r="D34">
        <v>300</v>
      </c>
    </row>
    <row r="35" spans="2:6" x14ac:dyDescent="0.3">
      <c r="B35">
        <v>15</v>
      </c>
      <c r="C35">
        <v>796598</v>
      </c>
      <c r="D35">
        <v>300</v>
      </c>
    </row>
    <row r="36" spans="2:6" x14ac:dyDescent="0.3">
      <c r="B36">
        <v>15</v>
      </c>
      <c r="C36">
        <v>796603</v>
      </c>
      <c r="D36">
        <v>450</v>
      </c>
    </row>
    <row r="37" spans="2:6" x14ac:dyDescent="0.3">
      <c r="B37">
        <v>15</v>
      </c>
      <c r="C37">
        <v>796603</v>
      </c>
      <c r="D37">
        <v>450</v>
      </c>
    </row>
    <row r="38" spans="2:6" x14ac:dyDescent="0.3">
      <c r="B38">
        <v>15</v>
      </c>
      <c r="C38">
        <v>797057</v>
      </c>
      <c r="D38">
        <v>270</v>
      </c>
      <c r="F38">
        <f>SUM($D$3:$D$38)</f>
        <v>4135</v>
      </c>
    </row>
    <row r="40" spans="2:6" x14ac:dyDescent="0.3">
      <c r="B40">
        <v>16</v>
      </c>
      <c r="C40">
        <v>796125</v>
      </c>
      <c r="D40">
        <v>150</v>
      </c>
    </row>
    <row r="41" spans="2:6" x14ac:dyDescent="0.3">
      <c r="B41">
        <v>16</v>
      </c>
      <c r="C41">
        <v>796830</v>
      </c>
      <c r="D41">
        <v>160</v>
      </c>
    </row>
    <row r="42" spans="2:6" x14ac:dyDescent="0.3">
      <c r="B42">
        <v>18</v>
      </c>
      <c r="C42">
        <v>796127</v>
      </c>
      <c r="D42">
        <v>350</v>
      </c>
    </row>
    <row r="43" spans="2:6" x14ac:dyDescent="0.3">
      <c r="B43">
        <v>18</v>
      </c>
      <c r="C43">
        <v>796326</v>
      </c>
      <c r="D43">
        <v>-120</v>
      </c>
    </row>
    <row r="44" spans="2:6" x14ac:dyDescent="0.3">
      <c r="B44">
        <v>18</v>
      </c>
      <c r="C44">
        <v>796623</v>
      </c>
      <c r="D44">
        <v>315</v>
      </c>
    </row>
    <row r="45" spans="2:6" x14ac:dyDescent="0.3">
      <c r="B45">
        <v>19</v>
      </c>
      <c r="C45">
        <v>795946</v>
      </c>
      <c r="D45">
        <v>415</v>
      </c>
    </row>
    <row r="46" spans="2:6" x14ac:dyDescent="0.3">
      <c r="B46">
        <v>19</v>
      </c>
      <c r="C46">
        <v>796400</v>
      </c>
      <c r="D46">
        <v>525</v>
      </c>
    </row>
    <row r="47" spans="2:6" x14ac:dyDescent="0.3">
      <c r="B47">
        <v>20</v>
      </c>
      <c r="C47">
        <v>796334</v>
      </c>
      <c r="D47">
        <v>400</v>
      </c>
    </row>
    <row r="48" spans="2:6" x14ac:dyDescent="0.3">
      <c r="B48">
        <v>20</v>
      </c>
      <c r="C48">
        <v>796843</v>
      </c>
      <c r="D48">
        <v>-400</v>
      </c>
    </row>
    <row r="49" spans="2:4" x14ac:dyDescent="0.3">
      <c r="B49">
        <v>21</v>
      </c>
      <c r="C49">
        <v>796674</v>
      </c>
      <c r="D49">
        <v>950</v>
      </c>
    </row>
    <row r="50" spans="2:4" x14ac:dyDescent="0.3">
      <c r="B50">
        <v>21</v>
      </c>
      <c r="C50">
        <v>797016</v>
      </c>
      <c r="D50">
        <v>-120</v>
      </c>
    </row>
    <row r="51" spans="2:4" x14ac:dyDescent="0.3">
      <c r="B51">
        <v>22</v>
      </c>
      <c r="C51">
        <v>796578</v>
      </c>
      <c r="D51">
        <v>175</v>
      </c>
    </row>
    <row r="52" spans="2:4" x14ac:dyDescent="0.3">
      <c r="B52">
        <v>22</v>
      </c>
      <c r="C52">
        <v>796857</v>
      </c>
      <c r="D52">
        <v>220</v>
      </c>
    </row>
    <row r="53" spans="2:4" x14ac:dyDescent="0.3">
      <c r="B53">
        <v>22</v>
      </c>
      <c r="C53">
        <v>796657</v>
      </c>
      <c r="D53">
        <v>545</v>
      </c>
    </row>
    <row r="54" spans="2:4" x14ac:dyDescent="0.3">
      <c r="B54">
        <v>22</v>
      </c>
      <c r="C54">
        <v>797038</v>
      </c>
      <c r="D54">
        <v>175</v>
      </c>
    </row>
    <row r="55" spans="2:4" x14ac:dyDescent="0.3">
      <c r="B55">
        <v>22</v>
      </c>
      <c r="C55">
        <v>796878</v>
      </c>
      <c r="D55">
        <v>4600</v>
      </c>
    </row>
    <row r="56" spans="2:4" x14ac:dyDescent="0.3">
      <c r="B56">
        <v>22</v>
      </c>
      <c r="C56">
        <v>796031</v>
      </c>
      <c r="D56">
        <v>-130</v>
      </c>
    </row>
    <row r="57" spans="2:4" x14ac:dyDescent="0.3">
      <c r="B57">
        <v>22</v>
      </c>
      <c r="C57">
        <v>796264</v>
      </c>
      <c r="D57">
        <v>-4600</v>
      </c>
    </row>
    <row r="58" spans="2:4" x14ac:dyDescent="0.3">
      <c r="B58">
        <v>22</v>
      </c>
      <c r="C58">
        <v>796773</v>
      </c>
      <c r="D58">
        <v>-100</v>
      </c>
    </row>
    <row r="59" spans="2:4" x14ac:dyDescent="0.3">
      <c r="B59">
        <v>23</v>
      </c>
      <c r="C59">
        <v>796329</v>
      </c>
      <c r="D59">
        <v>-600</v>
      </c>
    </row>
    <row r="60" spans="2:4" x14ac:dyDescent="0.3">
      <c r="B60">
        <v>24</v>
      </c>
      <c r="C60">
        <v>796170</v>
      </c>
      <c r="D60">
        <v>-190</v>
      </c>
    </row>
    <row r="61" spans="2:4" x14ac:dyDescent="0.3">
      <c r="B61">
        <v>24</v>
      </c>
      <c r="C61">
        <v>797040</v>
      </c>
      <c r="D61">
        <v>130</v>
      </c>
    </row>
    <row r="62" spans="2:4" x14ac:dyDescent="0.3">
      <c r="B62">
        <v>26</v>
      </c>
      <c r="C62">
        <v>796039</v>
      </c>
      <c r="D62">
        <v>-165</v>
      </c>
    </row>
    <row r="63" spans="2:4" x14ac:dyDescent="0.3">
      <c r="B63">
        <v>26</v>
      </c>
      <c r="C63">
        <v>795960</v>
      </c>
      <c r="D63">
        <v>-100</v>
      </c>
    </row>
    <row r="64" spans="2:4" x14ac:dyDescent="0.3">
      <c r="B64">
        <v>26</v>
      </c>
      <c r="C64">
        <v>795604</v>
      </c>
      <c r="D64">
        <v>-23</v>
      </c>
    </row>
    <row r="65" spans="2:6" x14ac:dyDescent="0.3">
      <c r="B65">
        <v>26</v>
      </c>
      <c r="C65">
        <v>796158</v>
      </c>
      <c r="D65">
        <v>-80</v>
      </c>
    </row>
    <row r="66" spans="2:6" x14ac:dyDescent="0.3">
      <c r="B66">
        <v>26</v>
      </c>
      <c r="C66">
        <v>795604</v>
      </c>
      <c r="D66">
        <v>-77</v>
      </c>
    </row>
    <row r="67" spans="2:6" x14ac:dyDescent="0.3">
      <c r="B67">
        <v>26</v>
      </c>
      <c r="C67">
        <v>795161</v>
      </c>
      <c r="D67">
        <v>-40</v>
      </c>
    </row>
    <row r="68" spans="2:6" x14ac:dyDescent="0.3">
      <c r="B68">
        <v>27</v>
      </c>
      <c r="C68">
        <v>796300</v>
      </c>
      <c r="D68">
        <v>-310</v>
      </c>
    </row>
    <row r="69" spans="2:6" x14ac:dyDescent="0.3">
      <c r="B69">
        <v>27</v>
      </c>
      <c r="C69">
        <v>796600</v>
      </c>
      <c r="D69">
        <v>250</v>
      </c>
    </row>
    <row r="70" spans="2:6" x14ac:dyDescent="0.3">
      <c r="B70">
        <v>119</v>
      </c>
      <c r="C70">
        <v>796372</v>
      </c>
      <c r="D70">
        <v>-315</v>
      </c>
    </row>
    <row r="71" spans="2:6" x14ac:dyDescent="0.3">
      <c r="B71">
        <v>122</v>
      </c>
      <c r="C71">
        <v>795938</v>
      </c>
      <c r="D71">
        <v>160</v>
      </c>
    </row>
    <row r="72" spans="2:6" x14ac:dyDescent="0.3">
      <c r="B72">
        <v>123</v>
      </c>
      <c r="C72">
        <v>795954</v>
      </c>
      <c r="D72">
        <v>-40</v>
      </c>
    </row>
    <row r="73" spans="2:6" x14ac:dyDescent="0.3">
      <c r="B73">
        <v>123</v>
      </c>
      <c r="C73">
        <v>795955</v>
      </c>
      <c r="D73">
        <v>-40</v>
      </c>
    </row>
    <row r="74" spans="2:6" x14ac:dyDescent="0.3">
      <c r="B74">
        <v>169</v>
      </c>
      <c r="C74">
        <v>796098</v>
      </c>
      <c r="D74">
        <v>50</v>
      </c>
    </row>
    <row r="75" spans="2:6" x14ac:dyDescent="0.3">
      <c r="B75">
        <v>169</v>
      </c>
      <c r="C75">
        <v>796599</v>
      </c>
      <c r="D75">
        <v>150</v>
      </c>
      <c r="F75">
        <f>SUM($D$3:$D$75)</f>
        <v>6405</v>
      </c>
    </row>
    <row r="77" spans="2:6" x14ac:dyDescent="0.3">
      <c r="B77">
        <v>169</v>
      </c>
      <c r="C77">
        <v>796957</v>
      </c>
      <c r="D77">
        <v>-50</v>
      </c>
    </row>
    <row r="78" spans="2:6" x14ac:dyDescent="0.3">
      <c r="B78">
        <v>169</v>
      </c>
      <c r="C78">
        <v>797066</v>
      </c>
      <c r="D78">
        <v>350</v>
      </c>
    </row>
    <row r="79" spans="2:6" x14ac:dyDescent="0.3">
      <c r="B79">
        <v>250</v>
      </c>
      <c r="C79">
        <v>796330</v>
      </c>
      <c r="D79">
        <v>775</v>
      </c>
    </row>
    <row r="80" spans="2:6" x14ac:dyDescent="0.3">
      <c r="B80">
        <v>250</v>
      </c>
      <c r="C80">
        <v>796521</v>
      </c>
      <c r="D80">
        <v>-160</v>
      </c>
    </row>
    <row r="81" spans="2:6" x14ac:dyDescent="0.3">
      <c r="B81">
        <v>318</v>
      </c>
      <c r="C81">
        <v>796764</v>
      </c>
      <c r="D81">
        <v>-1000</v>
      </c>
    </row>
    <row r="82" spans="2:6" x14ac:dyDescent="0.3">
      <c r="B82">
        <v>318</v>
      </c>
      <c r="C82">
        <v>797072</v>
      </c>
      <c r="D82">
        <v>155</v>
      </c>
    </row>
    <row r="83" spans="2:6" x14ac:dyDescent="0.3">
      <c r="B83">
        <v>319</v>
      </c>
      <c r="C83">
        <v>796361</v>
      </c>
      <c r="D83">
        <v>245</v>
      </c>
    </row>
    <row r="84" spans="2:6" x14ac:dyDescent="0.3">
      <c r="B84">
        <v>319</v>
      </c>
      <c r="C84">
        <v>796238</v>
      </c>
      <c r="D84">
        <v>-140</v>
      </c>
    </row>
    <row r="85" spans="2:6" x14ac:dyDescent="0.3">
      <c r="B85">
        <v>319</v>
      </c>
      <c r="C85">
        <v>796478</v>
      </c>
      <c r="D85">
        <v>-60</v>
      </c>
    </row>
    <row r="86" spans="2:6" x14ac:dyDescent="0.3">
      <c r="B86">
        <v>346</v>
      </c>
      <c r="C86">
        <v>795959</v>
      </c>
      <c r="D86">
        <v>-100</v>
      </c>
    </row>
    <row r="87" spans="2:6" x14ac:dyDescent="0.3">
      <c r="B87">
        <v>346</v>
      </c>
      <c r="C87">
        <v>796321</v>
      </c>
      <c r="D87">
        <v>285</v>
      </c>
    </row>
    <row r="88" spans="2:6" x14ac:dyDescent="0.3">
      <c r="B88">
        <v>346</v>
      </c>
      <c r="C88">
        <v>796722</v>
      </c>
      <c r="D88">
        <v>-40</v>
      </c>
    </row>
    <row r="89" spans="2:6" x14ac:dyDescent="0.3">
      <c r="B89">
        <v>347</v>
      </c>
      <c r="C89">
        <v>796192</v>
      </c>
      <c r="D89">
        <v>-80</v>
      </c>
    </row>
    <row r="90" spans="2:6" x14ac:dyDescent="0.3">
      <c r="B90">
        <v>347</v>
      </c>
      <c r="C90">
        <v>796614</v>
      </c>
      <c r="D90">
        <v>485</v>
      </c>
    </row>
    <row r="91" spans="2:6" x14ac:dyDescent="0.3">
      <c r="B91">
        <v>347</v>
      </c>
      <c r="C91">
        <v>796615</v>
      </c>
      <c r="D91">
        <v>100</v>
      </c>
    </row>
    <row r="92" spans="2:6" x14ac:dyDescent="0.3">
      <c r="B92">
        <v>347</v>
      </c>
      <c r="C92">
        <v>796901</v>
      </c>
      <c r="D92">
        <v>-100</v>
      </c>
    </row>
    <row r="93" spans="2:6" x14ac:dyDescent="0.3">
      <c r="B93">
        <v>356</v>
      </c>
      <c r="C93">
        <v>796129</v>
      </c>
      <c r="D93">
        <v>525</v>
      </c>
    </row>
    <row r="94" spans="2:6" x14ac:dyDescent="0.3">
      <c r="B94">
        <v>356</v>
      </c>
      <c r="C94">
        <v>794968</v>
      </c>
      <c r="D94">
        <v>-100</v>
      </c>
    </row>
    <row r="95" spans="2:6" x14ac:dyDescent="0.3">
      <c r="B95">
        <v>356</v>
      </c>
      <c r="C95">
        <v>794846</v>
      </c>
      <c r="D95">
        <v>-180</v>
      </c>
    </row>
    <row r="96" spans="2:6" x14ac:dyDescent="0.3">
      <c r="B96">
        <v>356</v>
      </c>
      <c r="C96">
        <v>794929</v>
      </c>
      <c r="D96">
        <v>-170</v>
      </c>
      <c r="F96">
        <f>SUM($D$3:$D$96)</f>
        <v>7145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workbookViewId="0"/>
  </sheetViews>
  <sheetFormatPr defaultRowHeight="14.4" x14ac:dyDescent="0.3"/>
  <cols>
    <col min="1" max="1" width="13.109375" bestFit="1" customWidth="1"/>
    <col min="2" max="2" width="15.33203125" bestFit="1" customWidth="1"/>
  </cols>
  <sheetData>
    <row r="1" spans="1:2" x14ac:dyDescent="0.3">
      <c r="A1" s="3" t="s">
        <v>3</v>
      </c>
      <c r="B1" s="4">
        <v>20</v>
      </c>
    </row>
    <row r="3" spans="1:2" x14ac:dyDescent="0.3">
      <c r="A3" s="3" t="s">
        <v>1</v>
      </c>
      <c r="B3" t="s">
        <v>7</v>
      </c>
    </row>
    <row r="4" spans="1:2" x14ac:dyDescent="0.3">
      <c r="A4" s="4">
        <v>796843</v>
      </c>
      <c r="B4" s="2">
        <v>-400</v>
      </c>
    </row>
    <row r="5" spans="1:2" x14ac:dyDescent="0.3">
      <c r="A5" s="4">
        <v>796334</v>
      </c>
      <c r="B5" s="2">
        <v>400</v>
      </c>
    </row>
    <row r="6" spans="1:2" x14ac:dyDescent="0.3">
      <c r="A6" s="4" t="s">
        <v>2</v>
      </c>
      <c r="B6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EBB70-814B-49E5-B775-A6EB21677395}">
  <sheetPr codeName="Sheet3"/>
  <dimension ref="A1:I46"/>
  <sheetViews>
    <sheetView tabSelected="1" workbookViewId="0">
      <selection sqref="A1:G49"/>
    </sheetView>
  </sheetViews>
  <sheetFormatPr defaultRowHeight="14.4" x14ac:dyDescent="0.3"/>
  <cols>
    <col min="1" max="1" width="16.33203125" bestFit="1" customWidth="1"/>
    <col min="3" max="3" width="11.5546875" bestFit="1" customWidth="1"/>
    <col min="4" max="4" width="11.33203125" bestFit="1" customWidth="1"/>
    <col min="5" max="5" width="11.6640625" bestFit="1" customWidth="1"/>
    <col min="6" max="6" width="10.109375" bestFit="1" customWidth="1"/>
    <col min="7" max="7" width="11.109375" bestFit="1" customWidth="1"/>
  </cols>
  <sheetData>
    <row r="1" spans="1:9" x14ac:dyDescent="0.3">
      <c r="A1" t="s">
        <v>19</v>
      </c>
      <c r="B1" t="s">
        <v>14</v>
      </c>
      <c r="C1" s="6" t="s">
        <v>20</v>
      </c>
      <c r="D1" s="6" t="s">
        <v>21</v>
      </c>
      <c r="E1" s="10" t="s">
        <v>18</v>
      </c>
      <c r="F1" s="7" t="s">
        <v>15</v>
      </c>
    </row>
    <row r="2" spans="1:9" x14ac:dyDescent="0.3">
      <c r="A2" s="8">
        <v>7145</v>
      </c>
      <c r="C2" s="6"/>
      <c r="D2" s="6"/>
      <c r="E2" s="12"/>
    </row>
    <row r="3" spans="1:9" x14ac:dyDescent="0.3">
      <c r="A3" s="8"/>
      <c r="B3">
        <v>1</v>
      </c>
      <c r="E3" s="10"/>
    </row>
    <row r="4" spans="1:9" x14ac:dyDescent="0.3">
      <c r="A4" s="8"/>
      <c r="B4">
        <v>2</v>
      </c>
      <c r="C4">
        <v>300</v>
      </c>
      <c r="E4" s="13">
        <v>240</v>
      </c>
      <c r="F4">
        <v>240</v>
      </c>
      <c r="H4" t="s">
        <v>23</v>
      </c>
      <c r="I4" s="10"/>
    </row>
    <row r="5" spans="1:9" x14ac:dyDescent="0.3">
      <c r="B5">
        <v>3</v>
      </c>
      <c r="D5">
        <v>-870</v>
      </c>
      <c r="E5" s="10"/>
      <c r="H5" t="s">
        <v>22</v>
      </c>
      <c r="I5" s="10"/>
    </row>
    <row r="6" spans="1:9" x14ac:dyDescent="0.3">
      <c r="B6">
        <v>5</v>
      </c>
      <c r="C6">
        <v>490</v>
      </c>
      <c r="E6" s="13">
        <v>5</v>
      </c>
      <c r="F6">
        <v>5</v>
      </c>
      <c r="H6" t="s">
        <v>24</v>
      </c>
      <c r="I6" s="10"/>
    </row>
    <row r="7" spans="1:9" x14ac:dyDescent="0.3">
      <c r="B7">
        <v>6</v>
      </c>
      <c r="C7">
        <v>60</v>
      </c>
      <c r="E7" s="10"/>
      <c r="F7">
        <v>60</v>
      </c>
      <c r="I7" s="10"/>
    </row>
    <row r="8" spans="1:9" x14ac:dyDescent="0.3">
      <c r="B8">
        <v>7</v>
      </c>
      <c r="C8">
        <v>855</v>
      </c>
      <c r="E8" s="13">
        <v>255</v>
      </c>
      <c r="F8">
        <v>255</v>
      </c>
      <c r="I8" s="10"/>
    </row>
    <row r="9" spans="1:9" x14ac:dyDescent="0.3">
      <c r="B9">
        <v>8</v>
      </c>
      <c r="C9">
        <v>130</v>
      </c>
      <c r="E9" s="13">
        <v>70</v>
      </c>
      <c r="F9">
        <v>70</v>
      </c>
      <c r="I9" s="10"/>
    </row>
    <row r="10" spans="1:9" x14ac:dyDescent="0.3">
      <c r="B10">
        <v>9</v>
      </c>
      <c r="C10">
        <v>1130</v>
      </c>
      <c r="E10" s="13">
        <v>260</v>
      </c>
      <c r="F10">
        <v>260</v>
      </c>
      <c r="I10" s="10"/>
    </row>
    <row r="11" spans="1:9" x14ac:dyDescent="0.3">
      <c r="B11">
        <v>10</v>
      </c>
      <c r="C11">
        <v>45</v>
      </c>
      <c r="E11" s="10"/>
      <c r="F11">
        <v>45</v>
      </c>
      <c r="I11" s="10"/>
    </row>
    <row r="12" spans="1:9" x14ac:dyDescent="0.3">
      <c r="B12">
        <v>11</v>
      </c>
      <c r="C12">
        <v>150</v>
      </c>
      <c r="E12" s="13">
        <v>70</v>
      </c>
      <c r="F12">
        <v>70</v>
      </c>
      <c r="I12" s="10"/>
    </row>
    <row r="13" spans="1:9" x14ac:dyDescent="0.3">
      <c r="B13">
        <v>12</v>
      </c>
      <c r="C13">
        <v>1100</v>
      </c>
      <c r="E13" s="13">
        <v>785</v>
      </c>
      <c r="F13">
        <v>785</v>
      </c>
      <c r="I13" s="10"/>
    </row>
    <row r="14" spans="1:9" x14ac:dyDescent="0.3">
      <c r="B14">
        <v>13</v>
      </c>
      <c r="C14">
        <v>360</v>
      </c>
      <c r="E14" s="10"/>
      <c r="F14">
        <v>360</v>
      </c>
      <c r="I14" s="10"/>
    </row>
    <row r="15" spans="1:9" x14ac:dyDescent="0.3">
      <c r="B15">
        <v>14</v>
      </c>
      <c r="E15" s="10"/>
      <c r="I15" s="10"/>
    </row>
    <row r="16" spans="1:9" x14ac:dyDescent="0.3">
      <c r="B16">
        <v>15</v>
      </c>
      <c r="C16">
        <v>385</v>
      </c>
      <c r="E16" s="10"/>
      <c r="F16">
        <v>385</v>
      </c>
      <c r="I16" s="10"/>
    </row>
    <row r="17" spans="2:9" x14ac:dyDescent="0.3">
      <c r="B17">
        <v>16</v>
      </c>
      <c r="C17">
        <v>310</v>
      </c>
      <c r="E17" s="10"/>
      <c r="F17">
        <v>310</v>
      </c>
      <c r="I17" s="10"/>
    </row>
    <row r="18" spans="2:9" x14ac:dyDescent="0.3">
      <c r="B18">
        <v>18</v>
      </c>
      <c r="C18">
        <v>545</v>
      </c>
      <c r="E18" s="10"/>
      <c r="F18">
        <v>545</v>
      </c>
      <c r="I18" s="10"/>
    </row>
    <row r="19" spans="2:9" x14ac:dyDescent="0.3">
      <c r="B19">
        <v>19</v>
      </c>
      <c r="C19">
        <v>940</v>
      </c>
      <c r="E19" s="13">
        <v>95</v>
      </c>
      <c r="F19">
        <v>95</v>
      </c>
      <c r="I19" s="10"/>
    </row>
    <row r="20" spans="2:9" x14ac:dyDescent="0.3">
      <c r="B20">
        <v>20</v>
      </c>
      <c r="E20" s="10"/>
      <c r="I20" s="10"/>
    </row>
    <row r="21" spans="2:9" x14ac:dyDescent="0.3">
      <c r="B21">
        <v>21</v>
      </c>
      <c r="C21">
        <v>830</v>
      </c>
      <c r="E21" s="10"/>
      <c r="F21">
        <v>830</v>
      </c>
      <c r="I21" s="10"/>
    </row>
    <row r="22" spans="2:9" x14ac:dyDescent="0.3">
      <c r="B22">
        <v>22</v>
      </c>
      <c r="C22">
        <v>885</v>
      </c>
      <c r="E22" s="10"/>
      <c r="F22">
        <v>885</v>
      </c>
    </row>
    <row r="23" spans="2:9" x14ac:dyDescent="0.3">
      <c r="B23">
        <v>23</v>
      </c>
      <c r="D23">
        <v>-600</v>
      </c>
      <c r="E23" s="10"/>
    </row>
    <row r="24" spans="2:9" x14ac:dyDescent="0.3">
      <c r="B24">
        <v>24</v>
      </c>
      <c r="D24">
        <v>-60</v>
      </c>
      <c r="E24" s="10"/>
    </row>
    <row r="25" spans="2:9" x14ac:dyDescent="0.3">
      <c r="B25">
        <v>25</v>
      </c>
      <c r="E25" s="10"/>
    </row>
    <row r="26" spans="2:9" x14ac:dyDescent="0.3">
      <c r="B26">
        <v>26</v>
      </c>
      <c r="D26">
        <v>-485</v>
      </c>
      <c r="E26" s="10"/>
    </row>
    <row r="27" spans="2:9" x14ac:dyDescent="0.3">
      <c r="B27">
        <v>27</v>
      </c>
      <c r="D27">
        <v>-60</v>
      </c>
      <c r="E27" s="10"/>
    </row>
    <row r="28" spans="2:9" x14ac:dyDescent="0.3">
      <c r="B28">
        <v>119</v>
      </c>
      <c r="D28">
        <v>-315</v>
      </c>
      <c r="E28" s="10"/>
    </row>
    <row r="29" spans="2:9" x14ac:dyDescent="0.3">
      <c r="B29">
        <v>120</v>
      </c>
      <c r="E29" s="10"/>
    </row>
    <row r="30" spans="2:9" x14ac:dyDescent="0.3">
      <c r="B30">
        <v>121</v>
      </c>
      <c r="E30" s="10"/>
    </row>
    <row r="31" spans="2:9" x14ac:dyDescent="0.3">
      <c r="B31">
        <v>122</v>
      </c>
      <c r="C31">
        <v>160</v>
      </c>
      <c r="E31" s="10"/>
      <c r="F31">
        <v>160</v>
      </c>
    </row>
    <row r="32" spans="2:9" x14ac:dyDescent="0.3">
      <c r="B32">
        <v>123</v>
      </c>
      <c r="D32">
        <v>-80</v>
      </c>
      <c r="E32" s="10"/>
    </row>
    <row r="33" spans="1:7" x14ac:dyDescent="0.3">
      <c r="B33">
        <v>125</v>
      </c>
      <c r="E33" s="10"/>
    </row>
    <row r="34" spans="1:7" x14ac:dyDescent="0.3">
      <c r="B34">
        <v>168</v>
      </c>
      <c r="E34" s="10"/>
    </row>
    <row r="35" spans="1:7" x14ac:dyDescent="0.3">
      <c r="B35">
        <v>169</v>
      </c>
      <c r="C35">
        <v>500</v>
      </c>
      <c r="E35" s="10"/>
      <c r="F35">
        <v>500</v>
      </c>
    </row>
    <row r="36" spans="1:7" x14ac:dyDescent="0.3">
      <c r="B36">
        <v>250</v>
      </c>
      <c r="C36">
        <v>615</v>
      </c>
      <c r="E36" s="10"/>
      <c r="F36">
        <v>615</v>
      </c>
    </row>
    <row r="37" spans="1:7" x14ac:dyDescent="0.3">
      <c r="B37">
        <v>318</v>
      </c>
      <c r="D37">
        <v>-845</v>
      </c>
      <c r="E37" s="10"/>
    </row>
    <row r="38" spans="1:7" x14ac:dyDescent="0.3">
      <c r="B38">
        <v>319</v>
      </c>
      <c r="C38">
        <v>45</v>
      </c>
      <c r="E38" s="10"/>
      <c r="F38">
        <v>45</v>
      </c>
    </row>
    <row r="39" spans="1:7" x14ac:dyDescent="0.3">
      <c r="B39">
        <v>346</v>
      </c>
      <c r="C39">
        <v>145</v>
      </c>
      <c r="E39" s="10"/>
      <c r="F39">
        <v>145</v>
      </c>
    </row>
    <row r="40" spans="1:7" x14ac:dyDescent="0.3">
      <c r="B40">
        <v>347</v>
      </c>
      <c r="C40">
        <v>405</v>
      </c>
      <c r="E40" s="10"/>
      <c r="F40">
        <v>405</v>
      </c>
    </row>
    <row r="41" spans="1:7" x14ac:dyDescent="0.3">
      <c r="B41">
        <v>349</v>
      </c>
      <c r="E41" s="10"/>
    </row>
    <row r="42" spans="1:7" x14ac:dyDescent="0.3">
      <c r="B42">
        <v>356</v>
      </c>
      <c r="C42">
        <v>75</v>
      </c>
      <c r="E42" s="10"/>
      <c r="F42">
        <v>75</v>
      </c>
    </row>
    <row r="43" spans="1:7" x14ac:dyDescent="0.3">
      <c r="B43">
        <v>360</v>
      </c>
      <c r="E43" s="10"/>
    </row>
    <row r="44" spans="1:7" x14ac:dyDescent="0.3">
      <c r="C44" s="6"/>
      <c r="D44" s="6"/>
      <c r="E44" s="11"/>
    </row>
    <row r="45" spans="1:7" x14ac:dyDescent="0.3">
      <c r="A45" t="s">
        <v>16</v>
      </c>
      <c r="C45" s="6"/>
      <c r="D45" s="6"/>
      <c r="E45" s="11"/>
      <c r="G45" t="s">
        <v>17</v>
      </c>
    </row>
    <row r="46" spans="1:7" x14ac:dyDescent="0.3">
      <c r="C46" s="8">
        <f>SUM(C3:C43)</f>
        <v>10460</v>
      </c>
      <c r="D46" s="8">
        <f>SUM(D3:D43)</f>
        <v>-3315</v>
      </c>
      <c r="E46" s="10"/>
      <c r="F46" s="9">
        <f>SUM(F3:F45)</f>
        <v>7145</v>
      </c>
      <c r="G46" s="8">
        <f>+C46+D46-F46</f>
        <v>0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EXAMPLE check</vt:lpstr>
      <vt:lpstr>Pivot</vt:lpstr>
      <vt:lpstr>Allocations</vt:lpstr>
      <vt:lpstr>Allocations!Print_Area</vt:lpstr>
      <vt:lpstr>'EXAMPLE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Burington</dc:creator>
  <cp:lastModifiedBy>Wendy Burington</cp:lastModifiedBy>
  <cp:lastPrinted>2021-09-14T14:28:49Z</cp:lastPrinted>
  <dcterms:created xsi:type="dcterms:W3CDTF">2021-09-07T19:42:36Z</dcterms:created>
  <dcterms:modified xsi:type="dcterms:W3CDTF">2021-09-30T02:07:36Z</dcterms:modified>
</cp:coreProperties>
</file>